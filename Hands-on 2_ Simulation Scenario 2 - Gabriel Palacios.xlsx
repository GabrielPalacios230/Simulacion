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\Desktop\Assingments - Simulacion\"/>
    </mc:Choice>
  </mc:AlternateContent>
  <xr:revisionPtr revIDLastSave="0" documentId="13_ncr:1_{27672102-A9DB-4AAF-97E6-F21D404EB8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  <c r="D13" i="1"/>
  <c r="L12" i="1"/>
  <c r="J12" i="1"/>
  <c r="H12" i="1"/>
  <c r="G12" i="1"/>
  <c r="F12" i="1"/>
  <c r="I12" i="1" s="1"/>
  <c r="L11" i="1"/>
  <c r="J11" i="1"/>
  <c r="H11" i="1"/>
  <c r="G11" i="1"/>
  <c r="F11" i="1"/>
  <c r="I11" i="1" s="1"/>
  <c r="K11" i="1" s="1"/>
  <c r="L10" i="1"/>
  <c r="J10" i="1"/>
  <c r="H10" i="1"/>
  <c r="G10" i="1"/>
  <c r="F10" i="1"/>
  <c r="I10" i="1" s="1"/>
  <c r="L9" i="1"/>
  <c r="J9" i="1"/>
  <c r="H9" i="1"/>
  <c r="G9" i="1"/>
  <c r="F9" i="1"/>
  <c r="I9" i="1" s="1"/>
  <c r="K9" i="1" s="1"/>
  <c r="L8" i="1"/>
  <c r="J8" i="1"/>
  <c r="H8" i="1"/>
  <c r="G8" i="1"/>
  <c r="F8" i="1"/>
  <c r="I8" i="1" s="1"/>
  <c r="K8" i="1" s="1"/>
  <c r="L7" i="1"/>
  <c r="J7" i="1"/>
  <c r="I7" i="1"/>
  <c r="K7" i="1" s="1"/>
  <c r="H7" i="1"/>
  <c r="G7" i="1"/>
  <c r="F7" i="1"/>
  <c r="L6" i="1"/>
  <c r="J6" i="1"/>
  <c r="I6" i="1"/>
  <c r="K6" i="1" s="1"/>
  <c r="H6" i="1"/>
  <c r="G6" i="1"/>
  <c r="F6" i="1"/>
  <c r="L5" i="1"/>
  <c r="J5" i="1"/>
  <c r="H5" i="1"/>
  <c r="G5" i="1"/>
  <c r="F5" i="1"/>
  <c r="I5" i="1" s="1"/>
  <c r="K5" i="1" s="1"/>
  <c r="L4" i="1"/>
  <c r="L13" i="1" s="1"/>
  <c r="N4" i="1" s="1"/>
  <c r="J4" i="1"/>
  <c r="H4" i="1"/>
  <c r="G4" i="1"/>
  <c r="F4" i="1"/>
  <c r="I4" i="1" s="1"/>
  <c r="K4" i="1" l="1"/>
  <c r="K10" i="1"/>
  <c r="F13" i="1"/>
  <c r="I13" i="1" s="1"/>
  <c r="J13" i="1"/>
  <c r="K12" i="1"/>
  <c r="G13" i="1"/>
  <c r="K13" i="1"/>
  <c r="H13" i="1"/>
  <c r="N5" i="1"/>
  <c r="N6" i="1" s="1"/>
  <c r="Q4" i="1" l="1"/>
  <c r="P4" i="1" s="1"/>
  <c r="P5" i="1" s="1"/>
</calcChain>
</file>

<file path=xl/sharedStrings.xml><?xml version="1.0" encoding="utf-8"?>
<sst xmlns="http://schemas.openxmlformats.org/spreadsheetml/2006/main" count="18" uniqueCount="18">
  <si>
    <t>Y</t>
  </si>
  <si>
    <t>X</t>
  </si>
  <si>
    <t>Sales</t>
  </si>
  <si>
    <t>Advertising</t>
  </si>
  <si>
    <t>SumY</t>
  </si>
  <si>
    <t>SumX</t>
  </si>
  <si>
    <t>SumXY</t>
  </si>
  <si>
    <t>SumX*SumY</t>
  </si>
  <si>
    <t>SumXSumX</t>
  </si>
  <si>
    <t>n*SumXY</t>
  </si>
  <si>
    <t>SumXSumY</t>
  </si>
  <si>
    <t>n*SumXY-SumXSumY</t>
  </si>
  <si>
    <t>SumXquad</t>
  </si>
  <si>
    <t>n*SumXquad -SumX SumX</t>
  </si>
  <si>
    <t>B0</t>
  </si>
  <si>
    <t>B1</t>
  </si>
  <si>
    <t>Totals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</si>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</sst>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rgb="FFFFD966"/>
      </patternFill>
    </fill>
    <fill>
      <patternFill patternType="solid">
        <fgColor theme="4" tint="0.39997558519241921"/>
        <bgColor theme="9"/>
      </patternFill>
    </fill>
    <fill>
      <patternFill patternType="solid">
        <fgColor theme="4" tint="0.39997558519241921"/>
        <bgColor rgb="FF76A5AF"/>
      </patternFill>
    </fill>
    <fill>
      <patternFill patternType="solid">
        <fgColor rgb="FF0070C0"/>
        <bgColor rgb="FF76A5AF"/>
      </patternFill>
    </fill>
    <fill>
      <patternFill patternType="solid">
        <fgColor theme="8"/>
        <bgColor theme="6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/>
    <xf numFmtId="0" fontId="1" fillId="0" borderId="5" xfId="0" applyFont="1" applyBorder="1"/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3" borderId="18" xfId="0" applyFont="1" applyFill="1" applyBorder="1" applyAlignment="1"/>
    <xf numFmtId="0" fontId="1" fillId="4" borderId="18" xfId="0" applyFont="1" applyFill="1" applyBorder="1" applyAlignment="1"/>
    <xf numFmtId="0" fontId="1" fillId="3" borderId="9" xfId="0" applyFont="1" applyFill="1" applyBorder="1" applyAlignment="1"/>
    <xf numFmtId="0" fontId="1" fillId="4" borderId="9" xfId="0" applyFont="1" applyFill="1" applyBorder="1" applyAlignment="1"/>
    <xf numFmtId="0" fontId="1" fillId="2" borderId="19" xfId="0" applyFont="1" applyFill="1" applyBorder="1" applyAlignment="1"/>
    <xf numFmtId="0" fontId="1" fillId="4" borderId="21" xfId="0" applyFont="1" applyFill="1" applyBorder="1" applyAlignment="1"/>
    <xf numFmtId="0" fontId="1" fillId="4" borderId="22" xfId="0" applyFont="1" applyFill="1" applyBorder="1" applyAlignment="1"/>
    <xf numFmtId="0" fontId="1" fillId="5" borderId="20" xfId="0" applyFont="1" applyFill="1" applyBorder="1" applyAlignment="1"/>
    <xf numFmtId="0" fontId="1" fillId="6" borderId="4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1" fillId="6" borderId="17" xfId="0" applyFont="1" applyFill="1" applyBorder="1" applyAlignment="1">
      <alignment vertical="center"/>
    </xf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0" fontId="1" fillId="8" borderId="1" xfId="0" applyFont="1" applyFill="1" applyBorder="1"/>
    <xf numFmtId="0" fontId="1" fillId="8" borderId="5" xfId="0" applyFont="1" applyFill="1" applyBorder="1" applyAlignment="1"/>
    <xf numFmtId="0" fontId="1" fillId="9" borderId="1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/>
    <xf numFmtId="0" fontId="1" fillId="11" borderId="9" xfId="0" applyFont="1" applyFill="1" applyBorder="1"/>
    <xf numFmtId="0" fontId="1" fillId="11" borderId="1" xfId="0" applyFont="1" applyFill="1" applyBorder="1"/>
  </cellXfs>
  <cellStyles count="1">
    <cellStyle name="Normal" xfId="0" builtinId="0"/>
  </cellStyles>
  <dxfs count="10"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9"/>
          <bgColor theme="9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CE5CD"/>
          <bgColor rgb="FFFCE5CD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CE5CD"/>
          <bgColor rgb="FFFCE5CD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ja 1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</xdr:row>
      <xdr:rowOff>0</xdr:rowOff>
    </xdr:from>
    <xdr:ext cx="2800350" cy="5810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1847850</xdr:colOff>
      <xdr:row>7</xdr:row>
      <xdr:rowOff>28575</xdr:rowOff>
    </xdr:from>
    <xdr:ext cx="2628900" cy="9429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D3:L13">
  <tableColumns count="9">
    <tableColumn id="1" xr3:uid="{00000000-0010-0000-0000-000001000000}" name="SumY"/>
    <tableColumn id="2" xr3:uid="{00000000-0010-0000-0000-000002000000}" name="SumX"/>
    <tableColumn id="3" xr3:uid="{00000000-0010-0000-0000-000003000000}" name="SumXY"/>
    <tableColumn id="4" xr3:uid="{00000000-0010-0000-0000-000004000000}" name="SumX*SumY"/>
    <tableColumn id="5" xr3:uid="{00000000-0010-0000-0000-000005000000}" name="SumXSumX"/>
    <tableColumn id="6" xr3:uid="{00000000-0010-0000-0000-000006000000}" name="n*SumXY"/>
    <tableColumn id="7" xr3:uid="{00000000-0010-0000-0000-000007000000}" name="SumXSumY"/>
    <tableColumn id="8" xr3:uid="{00000000-0010-0000-0000-000008000000}" name="n*SumXY-SumXSumY"/>
    <tableColumn id="9" xr3:uid="{00000000-0010-0000-0000-000009000000}" name="SumXquad" dataDxfId="0"/>
  </tableColumns>
  <tableStyleInfo name="TableStyleMedium14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8D2AD2-FC0F-4BDF-90F0-EB928ECCF179}" name="Tabla2" displayName="Tabla2" ref="A2:B12" totalsRowShown="0" headerRowDxfId="1" headerRowBorderDxfId="5" tableBorderDxfId="6" totalsRowBorderDxfId="4">
  <autoFilter ref="A2:B12" xr:uid="{D88D2AD2-FC0F-4BDF-90F0-EB928ECCF179}"/>
  <tableColumns count="2">
    <tableColumn id="1" xr3:uid="{50398D74-2E44-4952-8C8D-AE8DBE2542E3}" name="Y" dataDxfId="3"/>
    <tableColumn id="2" xr3:uid="{331A6608-454A-48DA-8011-C566C8EDC437}" name="X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R13"/>
  <sheetViews>
    <sheetView tabSelected="1" workbookViewId="0">
      <selection activeCell="H1" sqref="H1"/>
    </sheetView>
  </sheetViews>
  <sheetFormatPr baseColWidth="10" defaultColWidth="12.6640625" defaultRowHeight="15.75" customHeight="1" x14ac:dyDescent="0.25"/>
  <cols>
    <col min="1" max="1" width="5.44140625" bestFit="1" customWidth="1"/>
    <col min="2" max="2" width="9.88671875" bestFit="1" customWidth="1"/>
    <col min="3" max="3" width="5.6640625" bestFit="1" customWidth="1"/>
    <col min="4" max="4" width="6" bestFit="1" customWidth="1"/>
    <col min="5" max="5" width="6.109375" bestFit="1" customWidth="1"/>
    <col min="6" max="6" width="7.21875" bestFit="1" customWidth="1"/>
    <col min="7" max="7" width="11.88671875" bestFit="1" customWidth="1"/>
    <col min="8" max="8" width="11.21875" bestFit="1" customWidth="1"/>
    <col min="9" max="9" width="9.109375" bestFit="1" customWidth="1"/>
    <col min="10" max="10" width="11.109375" bestFit="1" customWidth="1"/>
    <col min="11" max="11" width="20" bestFit="1" customWidth="1"/>
    <col min="12" max="12" width="10.44140625" bestFit="1" customWidth="1"/>
    <col min="14" max="14" width="23.44140625" bestFit="1" customWidth="1"/>
    <col min="15" max="15" width="18.6640625" customWidth="1"/>
    <col min="16" max="16" width="12" bestFit="1" customWidth="1"/>
    <col min="17" max="17" width="24.21875" customWidth="1"/>
    <col min="18" max="18" width="41.44140625" customWidth="1"/>
  </cols>
  <sheetData>
    <row r="2" spans="1:18" x14ac:dyDescent="0.25">
      <c r="A2" s="24" t="s">
        <v>0</v>
      </c>
      <c r="B2" s="27" t="s">
        <v>1</v>
      </c>
    </row>
    <row r="3" spans="1:18" x14ac:dyDescent="0.25">
      <c r="A3" s="20" t="s">
        <v>2</v>
      </c>
      <c r="B3" s="22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8" t="s">
        <v>12</v>
      </c>
      <c r="N3" s="33" t="s">
        <v>13</v>
      </c>
      <c r="O3" s="34"/>
      <c r="P3" s="33" t="s">
        <v>14</v>
      </c>
      <c r="Q3" s="33" t="s">
        <v>15</v>
      </c>
      <c r="R3" s="35" t="s">
        <v>17</v>
      </c>
    </row>
    <row r="4" spans="1:18" x14ac:dyDescent="0.25">
      <c r="A4" s="21">
        <v>651</v>
      </c>
      <c r="B4" s="23">
        <v>23</v>
      </c>
      <c r="D4" s="3">
        <v>651</v>
      </c>
      <c r="E4" s="4">
        <v>23</v>
      </c>
      <c r="F4" s="5">
        <f t="shared" ref="F4:F12" si="0">E4*D4</f>
        <v>14973</v>
      </c>
      <c r="G4" s="6">
        <f t="shared" ref="G4:G13" si="1">E4*D4</f>
        <v>14973</v>
      </c>
      <c r="H4" s="6">
        <f t="shared" ref="H4:H13" si="2">E4^2</f>
        <v>529</v>
      </c>
      <c r="I4" s="6">
        <f t="shared" ref="I4:I13" si="3">9*F4</f>
        <v>134757</v>
      </c>
      <c r="J4" s="6">
        <f t="shared" ref="J4:J13" si="4">E4*D4</f>
        <v>14973</v>
      </c>
      <c r="K4" s="6">
        <f t="shared" ref="K4:K13" si="5">I4-J4</f>
        <v>119784</v>
      </c>
      <c r="L4" s="29">
        <f t="shared" ref="L4:L12" si="6">E4^2</f>
        <v>529</v>
      </c>
      <c r="N4" s="36">
        <f>L13*9</f>
        <v>150579</v>
      </c>
      <c r="O4" s="7"/>
      <c r="P4" s="38">
        <f>D13-Q4*E13</f>
        <v>1509.1465450610594</v>
      </c>
      <c r="Q4" s="39">
        <f>K13/N6</f>
        <v>23.422785592827331</v>
      </c>
      <c r="R4" s="8"/>
    </row>
    <row r="5" spans="1:18" x14ac:dyDescent="0.25">
      <c r="A5" s="21">
        <v>762</v>
      </c>
      <c r="B5" s="23">
        <v>26</v>
      </c>
      <c r="D5" s="9">
        <v>762</v>
      </c>
      <c r="E5" s="10">
        <v>26</v>
      </c>
      <c r="F5" s="11">
        <f t="shared" si="0"/>
        <v>19812</v>
      </c>
      <c r="G5" s="12">
        <f t="shared" si="1"/>
        <v>19812</v>
      </c>
      <c r="H5" s="12">
        <f t="shared" si="2"/>
        <v>676</v>
      </c>
      <c r="I5" s="12">
        <f t="shared" si="3"/>
        <v>178308</v>
      </c>
      <c r="J5" s="12">
        <f t="shared" si="4"/>
        <v>19812</v>
      </c>
      <c r="K5" s="12">
        <f t="shared" si="5"/>
        <v>158496</v>
      </c>
      <c r="L5" s="30">
        <f t="shared" si="6"/>
        <v>676</v>
      </c>
      <c r="N5" s="37">
        <f>E13^2</f>
        <v>137641</v>
      </c>
      <c r="O5" s="7"/>
      <c r="P5" s="40">
        <f>P4/9</f>
        <v>167.68294945122884</v>
      </c>
      <c r="Q5" s="13"/>
      <c r="R5" s="14"/>
    </row>
    <row r="6" spans="1:18" x14ac:dyDescent="0.25">
      <c r="A6" s="21">
        <v>856</v>
      </c>
      <c r="B6" s="23">
        <v>30</v>
      </c>
      <c r="D6" s="3">
        <v>856</v>
      </c>
      <c r="E6" s="4">
        <v>30</v>
      </c>
      <c r="F6" s="5">
        <f t="shared" si="0"/>
        <v>25680</v>
      </c>
      <c r="G6" s="6">
        <f t="shared" si="1"/>
        <v>25680</v>
      </c>
      <c r="H6" s="6">
        <f t="shared" si="2"/>
        <v>900</v>
      </c>
      <c r="I6" s="6">
        <f t="shared" si="3"/>
        <v>231120</v>
      </c>
      <c r="J6" s="6">
        <f t="shared" si="4"/>
        <v>25680</v>
      </c>
      <c r="K6" s="6">
        <f t="shared" si="5"/>
        <v>205440</v>
      </c>
      <c r="L6" s="29">
        <f t="shared" si="6"/>
        <v>900</v>
      </c>
      <c r="N6" s="40">
        <f>N4-N5</f>
        <v>12938</v>
      </c>
      <c r="O6" s="7"/>
      <c r="P6" s="7"/>
      <c r="Q6" s="13"/>
      <c r="R6" s="14"/>
    </row>
    <row r="7" spans="1:18" x14ac:dyDescent="0.25">
      <c r="A7" s="21">
        <v>1063</v>
      </c>
      <c r="B7" s="23">
        <v>34</v>
      </c>
      <c r="D7" s="9">
        <v>1063</v>
      </c>
      <c r="E7" s="10">
        <v>34</v>
      </c>
      <c r="F7" s="11">
        <f t="shared" si="0"/>
        <v>36142</v>
      </c>
      <c r="G7" s="12">
        <f t="shared" si="1"/>
        <v>36142</v>
      </c>
      <c r="H7" s="12">
        <f t="shared" si="2"/>
        <v>1156</v>
      </c>
      <c r="I7" s="12">
        <f t="shared" si="3"/>
        <v>325278</v>
      </c>
      <c r="J7" s="12">
        <f t="shared" si="4"/>
        <v>36142</v>
      </c>
      <c r="K7" s="12">
        <f t="shared" si="5"/>
        <v>289136</v>
      </c>
      <c r="L7" s="30">
        <f t="shared" si="6"/>
        <v>1156</v>
      </c>
      <c r="N7" s="7"/>
      <c r="O7" s="7"/>
      <c r="P7" s="7"/>
      <c r="Q7" s="13"/>
      <c r="R7" s="14"/>
    </row>
    <row r="8" spans="1:18" x14ac:dyDescent="0.25">
      <c r="A8" s="21">
        <v>1190</v>
      </c>
      <c r="B8" s="23">
        <v>43</v>
      </c>
      <c r="D8" s="3">
        <v>1190</v>
      </c>
      <c r="E8" s="4">
        <v>43</v>
      </c>
      <c r="F8" s="5">
        <f t="shared" si="0"/>
        <v>51170</v>
      </c>
      <c r="G8" s="6">
        <f t="shared" si="1"/>
        <v>51170</v>
      </c>
      <c r="H8" s="6">
        <f t="shared" si="2"/>
        <v>1849</v>
      </c>
      <c r="I8" s="6">
        <f t="shared" si="3"/>
        <v>460530</v>
      </c>
      <c r="J8" s="6">
        <f t="shared" si="4"/>
        <v>51170</v>
      </c>
      <c r="K8" s="6">
        <f t="shared" si="5"/>
        <v>409360</v>
      </c>
      <c r="L8" s="29">
        <f t="shared" si="6"/>
        <v>1849</v>
      </c>
      <c r="N8" s="7"/>
      <c r="O8" s="7"/>
      <c r="P8" s="7"/>
      <c r="Q8" s="13"/>
      <c r="R8" s="14"/>
    </row>
    <row r="9" spans="1:18" x14ac:dyDescent="0.25">
      <c r="A9" s="21">
        <v>1298</v>
      </c>
      <c r="B9" s="23">
        <v>48</v>
      </c>
      <c r="D9" s="9">
        <v>1298</v>
      </c>
      <c r="E9" s="10">
        <v>48</v>
      </c>
      <c r="F9" s="11">
        <f t="shared" si="0"/>
        <v>62304</v>
      </c>
      <c r="G9" s="12">
        <f t="shared" si="1"/>
        <v>62304</v>
      </c>
      <c r="H9" s="12">
        <f t="shared" si="2"/>
        <v>2304</v>
      </c>
      <c r="I9" s="12">
        <f t="shared" si="3"/>
        <v>560736</v>
      </c>
      <c r="J9" s="12">
        <f t="shared" si="4"/>
        <v>62304</v>
      </c>
      <c r="K9" s="12">
        <f t="shared" si="5"/>
        <v>498432</v>
      </c>
      <c r="L9" s="30">
        <f t="shared" si="6"/>
        <v>2304</v>
      </c>
      <c r="N9" s="7"/>
      <c r="O9" s="7"/>
      <c r="P9" s="7"/>
      <c r="Q9" s="13"/>
      <c r="R9" s="14"/>
    </row>
    <row r="10" spans="1:18" x14ac:dyDescent="0.25">
      <c r="A10" s="21">
        <v>1421</v>
      </c>
      <c r="B10" s="23">
        <v>52</v>
      </c>
      <c r="D10" s="3">
        <v>1421</v>
      </c>
      <c r="E10" s="4">
        <v>52</v>
      </c>
      <c r="F10" s="5">
        <f t="shared" si="0"/>
        <v>73892</v>
      </c>
      <c r="G10" s="6">
        <f t="shared" si="1"/>
        <v>73892</v>
      </c>
      <c r="H10" s="6">
        <f t="shared" si="2"/>
        <v>2704</v>
      </c>
      <c r="I10" s="6">
        <f t="shared" si="3"/>
        <v>665028</v>
      </c>
      <c r="J10" s="6">
        <f t="shared" si="4"/>
        <v>73892</v>
      </c>
      <c r="K10" s="6">
        <f t="shared" si="5"/>
        <v>591136</v>
      </c>
      <c r="L10" s="29">
        <f t="shared" si="6"/>
        <v>2704</v>
      </c>
      <c r="N10" s="7"/>
      <c r="O10" s="7"/>
      <c r="P10" s="7"/>
      <c r="Q10" s="13"/>
      <c r="R10" s="14"/>
    </row>
    <row r="11" spans="1:18" x14ac:dyDescent="0.25">
      <c r="A11" s="21">
        <v>1440</v>
      </c>
      <c r="B11" s="23">
        <v>57</v>
      </c>
      <c r="D11" s="9">
        <v>1440</v>
      </c>
      <c r="E11" s="10">
        <v>57</v>
      </c>
      <c r="F11" s="11">
        <f t="shared" si="0"/>
        <v>82080</v>
      </c>
      <c r="G11" s="12">
        <f t="shared" si="1"/>
        <v>82080</v>
      </c>
      <c r="H11" s="12">
        <f t="shared" si="2"/>
        <v>3249</v>
      </c>
      <c r="I11" s="12">
        <f t="shared" si="3"/>
        <v>738720</v>
      </c>
      <c r="J11" s="12">
        <f t="shared" si="4"/>
        <v>82080</v>
      </c>
      <c r="K11" s="12">
        <f t="shared" si="5"/>
        <v>656640</v>
      </c>
      <c r="L11" s="30">
        <f t="shared" si="6"/>
        <v>3249</v>
      </c>
      <c r="N11" s="7"/>
      <c r="O11" s="7"/>
      <c r="P11" s="7"/>
      <c r="Q11" s="13"/>
      <c r="R11" s="14"/>
    </row>
    <row r="12" spans="1:18" x14ac:dyDescent="0.25">
      <c r="A12" s="25">
        <v>1518</v>
      </c>
      <c r="B12" s="26">
        <v>58</v>
      </c>
      <c r="D12" s="3">
        <v>1518</v>
      </c>
      <c r="E12" s="4">
        <v>58</v>
      </c>
      <c r="F12" s="5">
        <f t="shared" si="0"/>
        <v>88044</v>
      </c>
      <c r="G12" s="6">
        <f t="shared" si="1"/>
        <v>88044</v>
      </c>
      <c r="H12" s="6">
        <f t="shared" si="2"/>
        <v>3364</v>
      </c>
      <c r="I12" s="6">
        <f t="shared" si="3"/>
        <v>792396</v>
      </c>
      <c r="J12" s="6">
        <f t="shared" si="4"/>
        <v>88044</v>
      </c>
      <c r="K12" s="6">
        <f t="shared" si="5"/>
        <v>704352</v>
      </c>
      <c r="L12" s="29">
        <f t="shared" si="6"/>
        <v>3364</v>
      </c>
      <c r="N12" s="7"/>
      <c r="O12" s="7"/>
      <c r="P12" s="7"/>
      <c r="Q12" s="13"/>
      <c r="R12" s="15"/>
    </row>
    <row r="13" spans="1:18" x14ac:dyDescent="0.25">
      <c r="C13" s="32" t="s">
        <v>16</v>
      </c>
      <c r="D13" s="16">
        <f>D4+D5+D6+D7+D8+D9+D10+D11+D12</f>
        <v>10199</v>
      </c>
      <c r="E13" s="17">
        <f t="shared" ref="E13:F13" si="7">SUM(E4:E12)</f>
        <v>371</v>
      </c>
      <c r="F13" s="17">
        <f t="shared" si="7"/>
        <v>454097</v>
      </c>
      <c r="G13" s="18">
        <f t="shared" si="1"/>
        <v>3783829</v>
      </c>
      <c r="H13" s="18">
        <f t="shared" si="2"/>
        <v>137641</v>
      </c>
      <c r="I13" s="19">
        <f t="shared" si="3"/>
        <v>4086873</v>
      </c>
      <c r="J13" s="18">
        <f t="shared" si="4"/>
        <v>3783829</v>
      </c>
      <c r="K13" s="18">
        <f t="shared" si="5"/>
        <v>303044</v>
      </c>
      <c r="L13" s="31">
        <f>L4+L5+L6+L7+L8+L9+L10+L11+L12</f>
        <v>16731</v>
      </c>
    </row>
  </sheetData>
  <dataValidations count="1">
    <dataValidation type="custom" allowBlank="1" showDropDown="1" sqref="D4:F13" xr:uid="{00000000-0002-0000-0000-000000000000}">
      <formula1>AND(ISNUMBER(D4),(NOT(OR(NOT(ISERROR(DATEVALUE(D4))), AND(ISNUMBER(D4), LEFT(CELL("format", D4))="D")))))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Palacios</dc:creator>
  <cp:lastModifiedBy>Gabriel Palacios</cp:lastModifiedBy>
  <dcterms:created xsi:type="dcterms:W3CDTF">2025-12-18T14:16:26Z</dcterms:created>
  <dcterms:modified xsi:type="dcterms:W3CDTF">2025-12-18T14:16:30Z</dcterms:modified>
</cp:coreProperties>
</file>